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 Lista 5" sheetId="1" state="visible" r:id="rId1"/>
  </sheets>
  <definedNames>
    <definedName name="_xlnm._FilterDatabase" localSheetId="0" hidden="1">'Deuda Lista 5'!$A$4:$M$21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006100"/>
      <sz val="10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5" fillId="0" borderId="1" pivotButton="0" quotePrefix="0" xfId="0"/>
    <xf numFmtId="0" fontId="7" fillId="0" borderId="0" applyAlignment="1" pivotButton="0" quotePrefix="0" xfId="0">
      <alignment horizontal="right"/>
    </xf>
    <xf numFmtId="164" fontId="7" fillId="5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8" fillId="0" borderId="0" applyAlignment="1" pivotButton="0" quotePrefix="0" xfId="0">
      <alignment horizontal="left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14" customWidth="1" min="4" max="4"/>
    <col width="31" customWidth="1" min="5" max="5"/>
    <col width="12" customWidth="1" min="6" max="6"/>
    <col width="31" customWidth="1" min="7" max="7"/>
    <col width="13" customWidth="1" min="8" max="8"/>
    <col width="17" customWidth="1" min="9" max="9"/>
    <col width="13" customWidth="1" min="10" max="10"/>
    <col width="12" customWidth="1" min="11" max="11"/>
    <col width="18" customWidth="1" min="12" max="12"/>
    <col width="13" customWidth="1" min="13" max="13"/>
  </cols>
  <sheetData>
    <row r="1">
      <c r="A1" s="1" t="inlineStr">
        <is>
          <t>CODIA — Consulta de deuda, Lista 5 (Regional Norcentral / Este / Norte)</t>
        </is>
      </c>
    </row>
    <row r="2">
      <c r="A2" s="2" t="inlineStr">
        <is>
          <t>Fuente del monto: consulta en vivo a codiaenlinea.com (login codigo+cedula) — 16/07/2026. Resto de columnas: tabla padron de Supabase. Lista original de 25 entradas con 6 codigos repetidos → 17 unicos.</t>
        </is>
      </c>
    </row>
    <row r="4" ht="30" customHeight="1">
      <c r="A4" s="3" t="inlineStr">
        <is>
          <t>Codigo</t>
        </is>
      </c>
      <c r="B4" s="3" t="inlineStr">
        <is>
          <t>Nombre completo</t>
        </is>
      </c>
      <c r="C4" s="3" t="inlineStr">
        <is>
          <t>Cedula</t>
        </is>
      </c>
      <c r="D4" s="3" t="inlineStr">
        <is>
          <t>Nucleo</t>
        </is>
      </c>
      <c r="E4" s="3" t="inlineStr">
        <is>
          <t>Regional</t>
        </is>
      </c>
      <c r="F4" s="3" t="inlineStr">
        <is>
          <t>Provincia</t>
        </is>
      </c>
      <c r="G4" s="3" t="inlineStr">
        <is>
          <t>Centro de votacion</t>
        </is>
      </c>
      <c r="H4" s="3" t="inlineStr">
        <is>
          <t>Contacto</t>
        </is>
      </c>
      <c r="I4" s="3" t="inlineStr">
        <is>
          <t>Monto deuda (RD$)</t>
        </is>
      </c>
      <c r="J4" s="3" t="inlineStr">
        <is>
          <t>Estatus deuda</t>
        </is>
      </c>
      <c r="K4" s="3" t="inlineStr">
        <is>
          <t>Votante habilitado</t>
        </is>
      </c>
      <c r="L4" s="3" t="inlineStr">
        <is>
          <t>Confirmado por</t>
        </is>
      </c>
      <c r="M4" s="3" t="inlineStr">
        <is>
          <t>Intencion</t>
        </is>
      </c>
    </row>
    <row r="5">
      <c r="A5" s="4" t="n">
        <v>31581</v>
      </c>
      <c r="B5" s="4" t="inlineStr">
        <is>
          <t>INDIRA JOSEFINA CORCINO CORCINO</t>
        </is>
      </c>
      <c r="C5" s="4" t="inlineStr">
        <is>
          <t>047-0169378-2</t>
        </is>
      </c>
      <c r="D5" s="4" t="inlineStr">
        <is>
          <t>ARQUITECTOS</t>
        </is>
      </c>
      <c r="E5" s="4" t="inlineStr">
        <is>
          <t>REGIONAL NORCENTRAL (LA VEGA)</t>
        </is>
      </c>
      <c r="F5" s="4" t="inlineStr">
        <is>
          <t>LA VEGA</t>
        </is>
      </c>
      <c r="G5" s="4" t="inlineStr">
        <is>
          <t>REGIONAL NORCENTRAL (LA VEGA)</t>
        </is>
      </c>
      <c r="H5" s="4" t="inlineStr">
        <is>
          <t>8098499484</t>
        </is>
      </c>
      <c r="I5" s="5" t="n">
        <v>11800</v>
      </c>
      <c r="J5" s="6" t="inlineStr">
        <is>
          <t>CON DEUDA</t>
        </is>
      </c>
      <c r="K5" s="4" t="inlineStr">
        <is>
          <t>SI</t>
        </is>
      </c>
      <c r="L5" s="4" t="inlineStr">
        <is>
          <t>—</t>
        </is>
      </c>
      <c r="M5" s="4" t="inlineStr">
        <is>
          <t>—</t>
        </is>
      </c>
    </row>
    <row r="6">
      <c r="A6" s="4" t="n">
        <v>24255</v>
      </c>
      <c r="B6" s="4" t="inlineStr">
        <is>
          <t>ARIEL ALBERTO ACOSTA SANCHEZ</t>
        </is>
      </c>
      <c r="C6" s="4" t="inlineStr">
        <is>
          <t>047-0172307-6</t>
        </is>
      </c>
      <c r="D6" s="4" t="inlineStr">
        <is>
          <t>ARQUITECTOS</t>
        </is>
      </c>
      <c r="E6" s="4" t="inlineStr">
        <is>
          <t>REGIONAL NORCENTRAL (LA VEGA)</t>
        </is>
      </c>
      <c r="F6" s="4" t="inlineStr">
        <is>
          <t>LA VEGA</t>
        </is>
      </c>
      <c r="G6" s="4" t="inlineStr">
        <is>
          <t>REGIONAL NORCENTRAL (LA VEGA)</t>
        </is>
      </c>
      <c r="H6" s="4" t="inlineStr">
        <is>
          <t>8095738132</t>
        </is>
      </c>
      <c r="I6" s="5" t="n">
        <v>5800</v>
      </c>
      <c r="J6" s="6" t="inlineStr">
        <is>
          <t>CON DEUDA</t>
        </is>
      </c>
      <c r="K6" s="4" t="inlineStr">
        <is>
          <t>SI</t>
        </is>
      </c>
      <c r="L6" s="4" t="inlineStr">
        <is>
          <t>—</t>
        </is>
      </c>
      <c r="M6" s="4" t="inlineStr">
        <is>
          <t>—</t>
        </is>
      </c>
    </row>
    <row r="7">
      <c r="A7" s="4" t="n">
        <v>26247</v>
      </c>
      <c r="B7" s="4" t="inlineStr">
        <is>
          <t>ERICK ENER SALCEDO ESTRELLA</t>
        </is>
      </c>
      <c r="C7" s="4" t="inlineStr">
        <is>
          <t>047-0156256-5</t>
        </is>
      </c>
      <c r="D7" s="4" t="inlineStr">
        <is>
          <t>ARQUITECTOS</t>
        </is>
      </c>
      <c r="E7" s="4" t="inlineStr">
        <is>
          <t>REGIONAL NORCENTRAL (LA VEGA)</t>
        </is>
      </c>
      <c r="F7" s="4" t="inlineStr">
        <is>
          <t>LA VEGA</t>
        </is>
      </c>
      <c r="G7" s="4" t="inlineStr">
        <is>
          <t>REGIONAL NORCENTRAL (LA VEGA)</t>
        </is>
      </c>
      <c r="H7" s="4" t="inlineStr">
        <is>
          <t>8095743143</t>
        </is>
      </c>
      <c r="I7" s="5" t="n">
        <v>4800</v>
      </c>
      <c r="J7" s="6" t="inlineStr">
        <is>
          <t>CON DEUDA</t>
        </is>
      </c>
      <c r="K7" s="4" t="inlineStr">
        <is>
          <t>SI</t>
        </is>
      </c>
      <c r="L7" s="4" t="inlineStr">
        <is>
          <t>—</t>
        </is>
      </c>
      <c r="M7" s="4" t="inlineStr">
        <is>
          <t>—</t>
        </is>
      </c>
    </row>
    <row r="8">
      <c r="A8" s="4" t="n">
        <v>29983</v>
      </c>
      <c r="B8" s="4" t="inlineStr">
        <is>
          <t>TANIA MIGUELINA FELIX ABREU</t>
        </is>
      </c>
      <c r="C8" s="4" t="inlineStr">
        <is>
          <t>047-0182265-4</t>
        </is>
      </c>
      <c r="D8" s="4" t="inlineStr">
        <is>
          <t>ARQUITECTOS</t>
        </is>
      </c>
      <c r="E8" s="4" t="inlineStr">
        <is>
          <t>REGIONAL NORCENTRAL (LA VEGA)</t>
        </is>
      </c>
      <c r="F8" s="4" t="inlineStr">
        <is>
          <t>LA VEGA</t>
        </is>
      </c>
      <c r="G8" s="4" t="inlineStr">
        <is>
          <t>REGIONAL NORCENTRAL (LA VEGA)</t>
        </is>
      </c>
      <c r="H8" s="4" t="inlineStr">
        <is>
          <t>8296406813</t>
        </is>
      </c>
      <c r="I8" s="5" t="n">
        <v>4700</v>
      </c>
      <c r="J8" s="6" t="inlineStr">
        <is>
          <t>CON DEUDA</t>
        </is>
      </c>
      <c r="K8" s="4" t="inlineStr">
        <is>
          <t>SI</t>
        </is>
      </c>
      <c r="L8" s="4" t="inlineStr">
        <is>
          <t>—</t>
        </is>
      </c>
      <c r="M8" s="4" t="inlineStr">
        <is>
          <t>—</t>
        </is>
      </c>
    </row>
    <row r="9">
      <c r="A9" s="4" t="n">
        <v>24256</v>
      </c>
      <c r="B9" s="4" t="inlineStr">
        <is>
          <t>FIDEL ANTONIO SUSANA JIMENEZ</t>
        </is>
      </c>
      <c r="C9" s="4" t="inlineStr">
        <is>
          <t>047-0166810-7</t>
        </is>
      </c>
      <c r="D9" s="4" t="inlineStr">
        <is>
          <t>ARQUITECTOS</t>
        </is>
      </c>
      <c r="E9" s="4" t="inlineStr">
        <is>
          <t>REGIONAL NORCENTRAL (LA VEGA)</t>
        </is>
      </c>
      <c r="F9" s="4" t="inlineStr">
        <is>
          <t>LA VEGA</t>
        </is>
      </c>
      <c r="G9" s="4" t="inlineStr">
        <is>
          <t>REGIONAL NORCENTRAL (LA VEGA)</t>
        </is>
      </c>
      <c r="H9" s="4" t="inlineStr">
        <is>
          <t>8097127574</t>
        </is>
      </c>
      <c r="I9" s="5" t="n">
        <v>3500</v>
      </c>
      <c r="J9" s="6" t="inlineStr">
        <is>
          <t>CON DEUDA</t>
        </is>
      </c>
      <c r="K9" s="4" t="inlineStr">
        <is>
          <t>SI</t>
        </is>
      </c>
      <c r="L9" s="4" t="inlineStr">
        <is>
          <t>—</t>
        </is>
      </c>
      <c r="M9" s="4" t="inlineStr">
        <is>
          <t>—</t>
        </is>
      </c>
    </row>
    <row r="10">
      <c r="A10" s="4" t="n">
        <v>39874</v>
      </c>
      <c r="B10" s="4" t="inlineStr">
        <is>
          <t>CINTHIA ISABEL GUTIERREZ ALMONTE</t>
        </is>
      </c>
      <c r="C10" s="4" t="inlineStr">
        <is>
          <t>047-0194034-0</t>
        </is>
      </c>
      <c r="D10" s="4" t="inlineStr">
        <is>
          <t>ARQUITECTOS</t>
        </is>
      </c>
      <c r="E10" s="4" t="inlineStr">
        <is>
          <t>REGIONAL NORCENTRAL (LA VEGA)</t>
        </is>
      </c>
      <c r="F10" s="4" t="inlineStr">
        <is>
          <t>LA VEGA</t>
        </is>
      </c>
      <c r="G10" s="4" t="inlineStr">
        <is>
          <t>REGIONAL NORCENTRAL (LA VEGA)</t>
        </is>
      </c>
      <c r="H10" s="4" t="inlineStr">
        <is>
          <t>8092424062</t>
        </is>
      </c>
      <c r="I10" s="5" t="n">
        <v>1900</v>
      </c>
      <c r="J10" s="6" t="inlineStr">
        <is>
          <t>CON DEUDA</t>
        </is>
      </c>
      <c r="K10" s="4" t="inlineStr">
        <is>
          <t>SI</t>
        </is>
      </c>
      <c r="L10" s="4" t="inlineStr">
        <is>
          <t>—</t>
        </is>
      </c>
      <c r="M10" s="4" t="inlineStr">
        <is>
          <t>—</t>
        </is>
      </c>
    </row>
    <row r="11">
      <c r="A11" s="4" t="n">
        <v>22271</v>
      </c>
      <c r="B11" s="4" t="inlineStr">
        <is>
          <t>ALBA IRIS ANTONIA AYALA BATISTA</t>
        </is>
      </c>
      <c r="C11" s="4" t="inlineStr">
        <is>
          <t>047-0145147-0</t>
        </is>
      </c>
      <c r="D11" s="4" t="inlineStr">
        <is>
          <t>ARQUITECTOS</t>
        </is>
      </c>
      <c r="E11" s="4" t="inlineStr">
        <is>
          <t>REGIONAL NORTE (SANTIAGO)</t>
        </is>
      </c>
      <c r="F11" s="4" t="inlineStr">
        <is>
          <t>SANTIAGO</t>
        </is>
      </c>
      <c r="G11" s="4" t="inlineStr">
        <is>
          <t>REGIONAL NORTE (SANTIAGO)</t>
        </is>
      </c>
      <c r="H11" s="4" t="inlineStr">
        <is>
          <t>8099711661</t>
        </is>
      </c>
      <c r="I11" s="5" t="n">
        <v>1200</v>
      </c>
      <c r="J11" s="6" t="inlineStr">
        <is>
          <t>CON DEUDA</t>
        </is>
      </c>
      <c r="K11" s="4" t="inlineStr">
        <is>
          <t>SI</t>
        </is>
      </c>
      <c r="L11" s="4" t="inlineStr">
        <is>
          <t>—</t>
        </is>
      </c>
      <c r="M11" s="4" t="inlineStr">
        <is>
          <t>—</t>
        </is>
      </c>
    </row>
    <row r="12">
      <c r="A12" s="4" t="n">
        <v>32790</v>
      </c>
      <c r="B12" s="4" t="inlineStr">
        <is>
          <t>KELVIN HENRIQUEZ SHEPHARD</t>
        </is>
      </c>
      <c r="C12" s="4" t="inlineStr">
        <is>
          <t>026-0112366-0</t>
        </is>
      </c>
      <c r="D12" s="4" t="inlineStr">
        <is>
          <t>ARQUITECTOS</t>
        </is>
      </c>
      <c r="E12" s="4" t="inlineStr">
        <is>
          <t>REGIONAL ESTE (LA ROMANA)</t>
        </is>
      </c>
      <c r="F12" s="4" t="inlineStr">
        <is>
          <t>HIGUEY</t>
        </is>
      </c>
      <c r="G12" s="4" t="inlineStr">
        <is>
          <t>DELEGACION HIGUEY</t>
        </is>
      </c>
      <c r="H12" s="4" t="inlineStr">
        <is>
          <t>8297648791</t>
        </is>
      </c>
      <c r="I12" s="5" t="n">
        <v>1200</v>
      </c>
      <c r="J12" s="6" t="inlineStr">
        <is>
          <t>CON DEUDA</t>
        </is>
      </c>
      <c r="K12" s="4" t="inlineStr">
        <is>
          <t>SI</t>
        </is>
      </c>
      <c r="L12" s="4" t="inlineStr">
        <is>
          <t>—</t>
        </is>
      </c>
      <c r="M12" s="4" t="inlineStr">
        <is>
          <t>—</t>
        </is>
      </c>
    </row>
    <row r="13">
      <c r="A13" s="4" t="n">
        <v>32791</v>
      </c>
      <c r="B13" s="4" t="inlineStr">
        <is>
          <t>MAYERLIN SILVESTRE RODRIGUEZ</t>
        </is>
      </c>
      <c r="C13" s="4" t="inlineStr">
        <is>
          <t>028-0092003-1</t>
        </is>
      </c>
      <c r="D13" s="4" t="inlineStr">
        <is>
          <t>ARQUITECTOS</t>
        </is>
      </c>
      <c r="E13" s="4" t="inlineStr">
        <is>
          <t>REGIONAL ESTE (LA ROMANA)</t>
        </is>
      </c>
      <c r="F13" s="4" t="inlineStr">
        <is>
          <t>HIGUEY</t>
        </is>
      </c>
      <c r="G13" s="4" t="inlineStr">
        <is>
          <t>DELEGACION HIGUEY</t>
        </is>
      </c>
      <c r="H13" s="4" t="inlineStr">
        <is>
          <t>8095543355</t>
        </is>
      </c>
      <c r="I13" s="5" t="n">
        <v>1200</v>
      </c>
      <c r="J13" s="6" t="inlineStr">
        <is>
          <t>CON DEUDA</t>
        </is>
      </c>
      <c r="K13" s="4" t="inlineStr">
        <is>
          <t>SI</t>
        </is>
      </c>
      <c r="L13" s="4" t="inlineStr">
        <is>
          <t>—</t>
        </is>
      </c>
      <c r="M13" s="4" t="inlineStr">
        <is>
          <t>—</t>
        </is>
      </c>
    </row>
    <row r="14">
      <c r="A14" s="4" t="n">
        <v>34100</v>
      </c>
      <c r="B14" s="4" t="inlineStr">
        <is>
          <t>ISMAILYN TAVAREZ COLON</t>
        </is>
      </c>
      <c r="C14" s="4" t="inlineStr">
        <is>
          <t>402-2078733-3</t>
        </is>
      </c>
      <c r="D14" s="4" t="inlineStr">
        <is>
          <t>ARQUITECTOS</t>
        </is>
      </c>
      <c r="E14" s="4" t="inlineStr">
        <is>
          <t>REGIONAL NORCENTRAL (LA VEGA)</t>
        </is>
      </c>
      <c r="F14" s="4" t="inlineStr">
        <is>
          <t>LA VEGA</t>
        </is>
      </c>
      <c r="G14" s="4" t="inlineStr">
        <is>
          <t>REGIONAL NORCENTRAL (LA VEGA)</t>
        </is>
      </c>
      <c r="H14" s="4" t="inlineStr">
        <is>
          <t>8092847249</t>
        </is>
      </c>
      <c r="I14" s="5" t="n">
        <v>1100</v>
      </c>
      <c r="J14" s="6" t="inlineStr">
        <is>
          <t>CON DEUDA</t>
        </is>
      </c>
      <c r="K14" s="4" t="inlineStr">
        <is>
          <t>SI</t>
        </is>
      </c>
      <c r="L14" s="4" t="inlineStr">
        <is>
          <t>Presidente CODIA</t>
        </is>
      </c>
      <c r="M14" s="4" t="inlineStr">
        <is>
          <t>favorable</t>
        </is>
      </c>
    </row>
    <row r="15">
      <c r="A15" s="4" t="n">
        <v>29985</v>
      </c>
      <c r="B15" s="4" t="inlineStr">
        <is>
          <t>CLARISSA ALTAGRACIA CAPELLAN ORTEGA</t>
        </is>
      </c>
      <c r="C15" s="4" t="inlineStr">
        <is>
          <t>047-0182511-1</t>
        </is>
      </c>
      <c r="D15" s="4" t="inlineStr">
        <is>
          <t>ARQUITECTOS</t>
        </is>
      </c>
      <c r="E15" s="4" t="inlineStr">
        <is>
          <t>REGIONAL NORCENTRAL (LA VEGA)</t>
        </is>
      </c>
      <c r="F15" s="4" t="inlineStr">
        <is>
          <t>LA VEGA</t>
        </is>
      </c>
      <c r="G15" s="4" t="inlineStr">
        <is>
          <t>REGIONAL NORCENTRAL (LA VEGA)</t>
        </is>
      </c>
      <c r="H15" s="4" t="inlineStr">
        <is>
          <t>8498673591</t>
        </is>
      </c>
      <c r="I15" s="5" t="n">
        <v>700</v>
      </c>
      <c r="J15" s="6" t="inlineStr">
        <is>
          <t>CON DEUDA</t>
        </is>
      </c>
      <c r="K15" s="4" t="inlineStr">
        <is>
          <t>SI</t>
        </is>
      </c>
      <c r="L15" s="4" t="inlineStr">
        <is>
          <t>—</t>
        </is>
      </c>
      <c r="M15" s="4" t="inlineStr">
        <is>
          <t>—</t>
        </is>
      </c>
    </row>
    <row r="16">
      <c r="A16" s="4" t="n">
        <v>27461</v>
      </c>
      <c r="B16" s="4" t="inlineStr">
        <is>
          <t>DAHIANA MARIBEL AGRAMONTE HERRERA</t>
        </is>
      </c>
      <c r="C16" s="4" t="inlineStr">
        <is>
          <t>047-0176082-1</t>
        </is>
      </c>
      <c r="D16" s="4" t="inlineStr">
        <is>
          <t>ARQUITECTOS</t>
        </is>
      </c>
      <c r="E16" s="4" t="inlineStr">
        <is>
          <t>REGIONAL NORCENTRAL (LA VEGA)</t>
        </is>
      </c>
      <c r="F16" s="4" t="inlineStr">
        <is>
          <t>LA VEGA</t>
        </is>
      </c>
      <c r="G16" s="4" t="inlineStr">
        <is>
          <t>REGIONAL NORCENTRAL (LA VEGA)</t>
        </is>
      </c>
      <c r="H16" s="4" t="inlineStr">
        <is>
          <t>8095737822</t>
        </is>
      </c>
      <c r="I16" s="5" t="n">
        <v>700</v>
      </c>
      <c r="J16" s="6" t="inlineStr">
        <is>
          <t>CON DEUDA</t>
        </is>
      </c>
      <c r="K16" s="4" t="inlineStr">
        <is>
          <t>SI</t>
        </is>
      </c>
      <c r="L16" s="4" t="inlineStr">
        <is>
          <t>—</t>
        </is>
      </c>
      <c r="M16" s="4" t="inlineStr">
        <is>
          <t>—</t>
        </is>
      </c>
    </row>
    <row r="17">
      <c r="A17" s="4" t="n">
        <v>34224</v>
      </c>
      <c r="B17" s="4" t="inlineStr">
        <is>
          <t>JETZABEL MERCEDES RODRIGUEZ TAPIA</t>
        </is>
      </c>
      <c r="C17" s="4" t="inlineStr">
        <is>
          <t>047-0199441-2</t>
        </is>
      </c>
      <c r="D17" s="4" t="inlineStr">
        <is>
          <t>ARQUITECTOS</t>
        </is>
      </c>
      <c r="E17" s="4" t="inlineStr">
        <is>
          <t>REGIONAL NORCENTRAL (LA VEGA)</t>
        </is>
      </c>
      <c r="F17" s="4" t="inlineStr">
        <is>
          <t>LA VEGA</t>
        </is>
      </c>
      <c r="G17" s="4" t="inlineStr">
        <is>
          <t>REGIONAL NORCENTRAL (LA VEGA)</t>
        </is>
      </c>
      <c r="H17" s="4" t="inlineStr">
        <is>
          <t>8099694818</t>
        </is>
      </c>
      <c r="I17" s="5" t="n">
        <v>700</v>
      </c>
      <c r="J17" s="6" t="inlineStr">
        <is>
          <t>CON DEUDA</t>
        </is>
      </c>
      <c r="K17" s="4" t="inlineStr">
        <is>
          <t>SI</t>
        </is>
      </c>
      <c r="L17" s="4" t="inlineStr">
        <is>
          <t>—</t>
        </is>
      </c>
      <c r="M17" s="4" t="inlineStr">
        <is>
          <t>—</t>
        </is>
      </c>
    </row>
    <row r="18">
      <c r="A18" s="4" t="n">
        <v>31309</v>
      </c>
      <c r="B18" s="4" t="inlineStr">
        <is>
          <t>JORGE LUIS DE LA CRUZ AMEZQUITA</t>
        </is>
      </c>
      <c r="C18" s="4" t="inlineStr">
        <is>
          <t>047-0202485-4</t>
        </is>
      </c>
      <c r="D18" s="4" t="inlineStr">
        <is>
          <t>ARQUITECTOS</t>
        </is>
      </c>
      <c r="E18" s="4" t="inlineStr">
        <is>
          <t>REGIONAL NORCENTRAL (LA VEGA)</t>
        </is>
      </c>
      <c r="F18" s="4" t="inlineStr">
        <is>
          <t>LA VEGA</t>
        </is>
      </c>
      <c r="G18" s="4" t="inlineStr">
        <is>
          <t>REGIONAL NORCENTRAL (LA VEGA)</t>
        </is>
      </c>
      <c r="H18" s="4" t="inlineStr">
        <is>
          <t>8298617189</t>
        </is>
      </c>
      <c r="I18" s="5" t="n">
        <v>700</v>
      </c>
      <c r="J18" s="6" t="inlineStr">
        <is>
          <t>CON DEUDA</t>
        </is>
      </c>
      <c r="K18" s="4" t="inlineStr">
        <is>
          <t>SI</t>
        </is>
      </c>
      <c r="L18" s="4" t="inlineStr">
        <is>
          <t>—</t>
        </is>
      </c>
      <c r="M18" s="4" t="inlineStr">
        <is>
          <t>—</t>
        </is>
      </c>
    </row>
    <row r="19">
      <c r="A19" s="4" t="n">
        <v>31307</v>
      </c>
      <c r="B19" s="4" t="inlineStr">
        <is>
          <t>ROBERTO CARLOS SANTIAGO HOLGUIN</t>
        </is>
      </c>
      <c r="C19" s="4" t="inlineStr">
        <is>
          <t>047-0158535-0</t>
        </is>
      </c>
      <c r="D19" s="4" t="inlineStr">
        <is>
          <t>ARQUITECTOS</t>
        </is>
      </c>
      <c r="E19" s="4" t="inlineStr">
        <is>
          <t>REGIONAL NORCENTRAL (LA VEGA)</t>
        </is>
      </c>
      <c r="F19" s="4" t="inlineStr">
        <is>
          <t>LA VEGA</t>
        </is>
      </c>
      <c r="G19" s="4" t="inlineStr">
        <is>
          <t>REGIONAL NORCENTRAL (LA VEGA)</t>
        </is>
      </c>
      <c r="H19" s="4" t="inlineStr">
        <is>
          <t>8498606177</t>
        </is>
      </c>
      <c r="I19" s="5" t="n">
        <v>700</v>
      </c>
      <c r="J19" s="6" t="inlineStr">
        <is>
          <t>CON DEUDA</t>
        </is>
      </c>
      <c r="K19" s="4" t="inlineStr">
        <is>
          <t>SI</t>
        </is>
      </c>
      <c r="L19" s="4" t="inlineStr">
        <is>
          <t>—</t>
        </is>
      </c>
      <c r="M19" s="4" t="inlineStr">
        <is>
          <t>—</t>
        </is>
      </c>
    </row>
    <row r="20">
      <c r="A20" s="4" t="n">
        <v>32799</v>
      </c>
      <c r="B20" s="4" t="inlineStr">
        <is>
          <t>TERESA MEDINA BLANCO</t>
        </is>
      </c>
      <c r="C20" s="4" t="inlineStr">
        <is>
          <t>047-0014390-4</t>
        </is>
      </c>
      <c r="D20" s="4" t="inlineStr">
        <is>
          <t>ARQUITECTOS</t>
        </is>
      </c>
      <c r="E20" s="4" t="inlineStr">
        <is>
          <t>REGIONAL NORCENTRAL (LA VEGA)</t>
        </is>
      </c>
      <c r="F20" s="4" t="inlineStr">
        <is>
          <t>LA VEGA</t>
        </is>
      </c>
      <c r="G20" s="4" t="inlineStr">
        <is>
          <t>REGIONAL NORCENTRAL (LA VEGA)</t>
        </is>
      </c>
      <c r="H20" s="4" t="inlineStr">
        <is>
          <t>8095739957</t>
        </is>
      </c>
      <c r="I20" s="5" t="n">
        <v>100</v>
      </c>
      <c r="J20" s="6" t="inlineStr">
        <is>
          <t>CON DEUDA</t>
        </is>
      </c>
      <c r="K20" s="4" t="inlineStr">
        <is>
          <t>SI</t>
        </is>
      </c>
      <c r="L20" s="4" t="inlineStr">
        <is>
          <t>—</t>
        </is>
      </c>
      <c r="M20" s="4" t="inlineStr">
        <is>
          <t>—</t>
        </is>
      </c>
    </row>
    <row r="21">
      <c r="A21" s="4" t="n">
        <v>50614</v>
      </c>
      <c r="B21" s="4" t="inlineStr">
        <is>
          <t>MELISSA DEL PILAR SURIEL MATIAS</t>
        </is>
      </c>
      <c r="C21" s="4" t="inlineStr">
        <is>
          <t>402-2208093-5</t>
        </is>
      </c>
      <c r="D21" s="4" t="inlineStr">
        <is>
          <t>ARQUITECTOS</t>
        </is>
      </c>
      <c r="E21" s="4" t="inlineStr">
        <is>
          <t>REGIONAL NORCENTRAL (LA VEGA)</t>
        </is>
      </c>
      <c r="F21" s="4" t="inlineStr">
        <is>
          <t>LA VEGA</t>
        </is>
      </c>
      <c r="G21" s="4" t="inlineStr">
        <is>
          <t>—</t>
        </is>
      </c>
      <c r="H21" s="4" t="inlineStr">
        <is>
          <t>8096240027</t>
        </is>
      </c>
      <c r="I21" s="5" t="n">
        <v>0</v>
      </c>
      <c r="J21" s="7" t="inlineStr">
        <is>
          <t>AL DIA</t>
        </is>
      </c>
      <c r="K21" s="8" t="inlineStr">
        <is>
          <t>NO</t>
        </is>
      </c>
      <c r="L21" s="4" t="inlineStr">
        <is>
          <t>—</t>
        </is>
      </c>
      <c r="M21" s="4" t="inlineStr">
        <is>
          <t>—</t>
        </is>
      </c>
    </row>
    <row r="22">
      <c r="H22" s="9" t="inlineStr">
        <is>
          <t>TOTAL DEUDA</t>
        </is>
      </c>
      <c r="I22" s="10">
        <f>SUM(I5:I21)</f>
        <v/>
      </c>
    </row>
    <row r="24">
      <c r="A24" s="11" t="inlineStr">
        <is>
          <t>Resumen</t>
        </is>
      </c>
    </row>
    <row r="25">
      <c r="A25" s="12" t="inlineStr">
        <is>
          <t>Total colegiados en la lista</t>
        </is>
      </c>
      <c r="B25" s="13">
        <f>COUNTA(B5:B21)</f>
        <v/>
      </c>
    </row>
    <row r="26">
      <c r="A26" s="12" t="inlineStr">
        <is>
          <t>Con deuda</t>
        </is>
      </c>
      <c r="B26" s="13">
        <f>COUNTIF(J5:J21,"CON DEUDA")</f>
        <v/>
      </c>
    </row>
    <row r="27">
      <c r="A27" s="12" t="inlineStr">
        <is>
          <t>Al dia</t>
        </is>
      </c>
      <c r="B27" s="13">
        <f>COUNTIF(J5:J21,"AL DIA")</f>
        <v/>
      </c>
    </row>
    <row r="28">
      <c r="A28" s="12" t="inlineStr">
        <is>
          <t>Votantes habilitados</t>
        </is>
      </c>
      <c r="B28" s="13">
        <f>COUNTIF(K5:K21,"SI")</f>
        <v/>
      </c>
    </row>
    <row r="29">
      <c r="A29" s="12" t="inlineStr">
        <is>
          <t>NO habilitados a votar</t>
        </is>
      </c>
      <c r="B29" s="13">
        <f>COUNTIF(K5:K21,"NO")</f>
        <v/>
      </c>
    </row>
    <row r="30">
      <c r="A30" s="12" t="inlineStr">
        <is>
          <t>Deuda promedio de los que deben</t>
        </is>
      </c>
      <c r="B30" s="14">
        <f>IFERROR(I22/COUNTIF(J5:J21,"CON DEUDA"),0)</f>
        <v/>
      </c>
    </row>
    <row r="32">
      <c r="A32" s="15" t="inlineStr">
        <is>
          <t>Deuda por regional</t>
        </is>
      </c>
    </row>
    <row r="33">
      <c r="A33" s="13" t="inlineStr">
        <is>
          <t>Regional</t>
        </is>
      </c>
      <c r="B33" s="13" t="inlineStr">
        <is>
          <t>Colegiados</t>
        </is>
      </c>
      <c r="C33" s="13" t="inlineStr">
        <is>
          <t>Deuda</t>
        </is>
      </c>
    </row>
    <row r="34">
      <c r="A34" s="12" t="inlineStr">
        <is>
          <t>REGIONAL NORCENTRAL (LA VEGA)</t>
        </is>
      </c>
      <c r="B34" s="12">
        <f>COUNTIF(E5:E21,A34)</f>
        <v/>
      </c>
      <c r="C34" s="16">
        <f>SUMIF(E5:E21,A34,I5:I21)</f>
        <v/>
      </c>
    </row>
    <row r="35">
      <c r="A35" s="12" t="inlineStr">
        <is>
          <t>REGIONAL ESTE (LA ROMANA)</t>
        </is>
      </c>
      <c r="B35" s="12">
        <f>COUNTIF(E5:E21,A35)</f>
        <v/>
      </c>
      <c r="C35" s="16">
        <f>SUMIF(E5:E21,A35,I5:I21)</f>
        <v/>
      </c>
    </row>
    <row r="36">
      <c r="A36" s="12" t="inlineStr">
        <is>
          <t>REGIONAL NORTE (SANTIAGO)</t>
        </is>
      </c>
      <c r="B36" s="12">
        <f>COUNTIF(E5:E21,A36)</f>
        <v/>
      </c>
      <c r="C36" s="16">
        <f>SUMIF(E5:E21,A36,I5:I21)</f>
        <v/>
      </c>
    </row>
    <row r="38">
      <c r="A38" s="2" t="inlineStr">
        <is>
          <t>Nota: #50614 (Melissa Suriel) esta al dia pero figura NO habilitada y sin centro de votacion asignado en el padron.</t>
        </is>
      </c>
    </row>
  </sheetData>
  <autoFilter ref="A4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2026-07-16T19:34:58Z</dcterms:created>
  <dcterms:modified xsi:type="dcterms:W3CDTF">2026-07-16T19:34:58Z</dcterms:modified>
</cp:coreProperties>
</file>