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 Lista 4" sheetId="1" state="visible" r:id="rId1"/>
  </sheets>
  <definedNames>
    <definedName name="_xlnm._FilterDatabase" localSheetId="0" hidden="1">'Deuda Lista 4'!$A$4:$M$18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0" borderId="0" applyAlignment="1" pivotButton="0" quotePrefix="0" xfId="0">
      <alignment horizontal="right"/>
    </xf>
    <xf numFmtId="164" fontId="7" fillId="5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30" customWidth="1" min="4" max="4"/>
    <col width="15" customWidth="1" min="5" max="5"/>
    <col width="20" customWidth="1" min="6" max="6"/>
    <col width="30" customWidth="1" min="7" max="7"/>
    <col width="13" customWidth="1" min="8" max="8"/>
    <col width="17" customWidth="1" min="9" max="9"/>
    <col width="13" customWidth="1" min="10" max="10"/>
    <col width="12" customWidth="1" min="11" max="11"/>
    <col width="18" customWidth="1" min="12" max="12"/>
    <col width="13" customWidth="1" min="13" max="13"/>
  </cols>
  <sheetData>
    <row r="1">
      <c r="A1" s="1" t="inlineStr">
        <is>
          <t>CODIA — Consulta de deuda, listado del Presidente (Lista 4)</t>
        </is>
      </c>
    </row>
    <row r="2">
      <c r="A2" s="2" t="inlineStr">
        <is>
          <t>Fuente del monto: consulta en vivo a codiaenlinea.com (login codigo+cedula) — 16/07/2026. Resto de columnas: tabla padron de Supabase.</t>
        </is>
      </c>
    </row>
    <row r="4" ht="30" customHeight="1">
      <c r="A4" s="3" t="inlineStr">
        <is>
          <t>Codigo</t>
        </is>
      </c>
      <c r="B4" s="3" t="inlineStr">
        <is>
          <t>Nombre completo</t>
        </is>
      </c>
      <c r="C4" s="3" t="inlineStr">
        <is>
          <t>Cedula</t>
        </is>
      </c>
      <c r="D4" s="3" t="inlineStr">
        <is>
          <t>Nucleo</t>
        </is>
      </c>
      <c r="E4" s="3" t="inlineStr">
        <is>
          <t>Regional</t>
        </is>
      </c>
      <c r="F4" s="3" t="inlineStr">
        <is>
          <t>Provincia</t>
        </is>
      </c>
      <c r="G4" s="3" t="inlineStr">
        <is>
          <t>Centro de votacion</t>
        </is>
      </c>
      <c r="H4" s="3" t="inlineStr">
        <is>
          <t>Contacto</t>
        </is>
      </c>
      <c r="I4" s="3" t="inlineStr">
        <is>
          <t>Monto deuda (RD$)</t>
        </is>
      </c>
      <c r="J4" s="3" t="inlineStr">
        <is>
          <t>Estatus deuda</t>
        </is>
      </c>
      <c r="K4" s="3" t="inlineStr">
        <is>
          <t>Votante habilitado</t>
        </is>
      </c>
      <c r="L4" s="3" t="inlineStr">
        <is>
          <t>Confirmado por</t>
        </is>
      </c>
      <c r="M4" s="3" t="inlineStr">
        <is>
          <t>Intencion</t>
        </is>
      </c>
    </row>
    <row r="5">
      <c r="A5" s="4" t="n">
        <v>30362</v>
      </c>
      <c r="B5" s="4" t="inlineStr">
        <is>
          <t>ODALYS ALTAGRACIA VASQUEZ LINARES</t>
        </is>
      </c>
      <c r="C5" s="4" t="inlineStr">
        <is>
          <t>001-1197014-1</t>
        </is>
      </c>
      <c r="D5" s="4" t="inlineStr">
        <is>
          <t>ARQUITECTOS</t>
        </is>
      </c>
      <c r="E5" s="4" t="inlineStr">
        <is>
          <t>SEDE CENTRAL</t>
        </is>
      </c>
      <c r="F5" s="4" t="inlineStr">
        <is>
          <t>SANTO DOMINGO</t>
        </is>
      </c>
      <c r="G5" s="4" t="inlineStr">
        <is>
          <t>SEDE CENTRAL / SANTO DOMINGO</t>
        </is>
      </c>
      <c r="H5" s="4" t="inlineStr">
        <is>
          <t>8099139911</t>
        </is>
      </c>
      <c r="I5" s="5" t="n">
        <v>8500</v>
      </c>
      <c r="J5" s="6" t="inlineStr">
        <is>
          <t>CON DEUDA</t>
        </is>
      </c>
      <c r="K5" s="7" t="inlineStr">
        <is>
          <t>NO</t>
        </is>
      </c>
      <c r="L5" s="4" t="inlineStr">
        <is>
          <t>Presidente CODIA</t>
        </is>
      </c>
      <c r="M5" s="4" t="inlineStr">
        <is>
          <t>favorable</t>
        </is>
      </c>
    </row>
    <row r="6">
      <c r="A6" s="4" t="n">
        <v>44287</v>
      </c>
      <c r="B6" s="4" t="inlineStr">
        <is>
          <t>DIANA ISABEL CASTILLO ACOSTA</t>
        </is>
      </c>
      <c r="C6" s="4" t="inlineStr">
        <is>
          <t>402-2015709-9</t>
        </is>
      </c>
      <c r="D6" s="4" t="inlineStr">
        <is>
          <t>ARQUITECTOS</t>
        </is>
      </c>
      <c r="E6" s="4" t="inlineStr">
        <is>
          <t>SEDE CENTRAL</t>
        </is>
      </c>
      <c r="F6" s="4" t="inlineStr">
        <is>
          <t>SANTO DOMINGO ESTE</t>
        </is>
      </c>
      <c r="G6" s="4" t="inlineStr">
        <is>
          <t>SEDE CENTRAL / SANTO DOMINGO</t>
        </is>
      </c>
      <c r="H6" s="4" t="inlineStr">
        <is>
          <t>8097059393</t>
        </is>
      </c>
      <c r="I6" s="5" t="n">
        <v>2300</v>
      </c>
      <c r="J6" s="6" t="inlineStr">
        <is>
          <t>CON DEUDA</t>
        </is>
      </c>
      <c r="K6" s="7" t="inlineStr">
        <is>
          <t>NO</t>
        </is>
      </c>
      <c r="L6" s="4" t="inlineStr">
        <is>
          <t>Presidente CODIA</t>
        </is>
      </c>
      <c r="M6" s="4" t="inlineStr">
        <is>
          <t>favorable</t>
        </is>
      </c>
    </row>
    <row r="7">
      <c r="A7" s="4" t="n">
        <v>15486</v>
      </c>
      <c r="B7" s="4" t="inlineStr">
        <is>
          <t>MILKA ANTONIA PINALES HIBREA</t>
        </is>
      </c>
      <c r="C7" s="4" t="inlineStr">
        <is>
          <t>001-0472263-2</t>
        </is>
      </c>
      <c r="D7" s="4" t="inlineStr">
        <is>
          <t>ARQUITECTOS</t>
        </is>
      </c>
      <c r="E7" s="4" t="inlineStr">
        <is>
          <t>SEDE CENTRAL</t>
        </is>
      </c>
      <c r="F7" s="4" t="inlineStr">
        <is>
          <t>SANTO DOMINGO</t>
        </is>
      </c>
      <c r="G7" s="4" t="inlineStr">
        <is>
          <t>SEDE CENTRAL / SANTO DOMINGO</t>
        </is>
      </c>
      <c r="H7" s="4" t="inlineStr">
        <is>
          <t>8095934960</t>
        </is>
      </c>
      <c r="I7" s="5" t="n">
        <v>1100</v>
      </c>
      <c r="J7" s="6" t="inlineStr">
        <is>
          <t>CON DEUDA</t>
        </is>
      </c>
      <c r="K7" s="7" t="inlineStr">
        <is>
          <t>NO</t>
        </is>
      </c>
      <c r="L7" s="4" t="inlineStr">
        <is>
          <t>Presidente CODIA</t>
        </is>
      </c>
      <c r="M7" s="4" t="inlineStr">
        <is>
          <t>favorable</t>
        </is>
      </c>
    </row>
    <row r="8">
      <c r="A8" s="4" t="n">
        <v>47902</v>
      </c>
      <c r="B8" s="4" t="inlineStr">
        <is>
          <t>PAOLA MINERBA GOMEZ DIPRE</t>
        </is>
      </c>
      <c r="C8" s="4" t="inlineStr">
        <is>
          <t>223-0095696-2</t>
        </is>
      </c>
      <c r="D8" s="4" t="inlineStr">
        <is>
          <t>ARQUITECTOS</t>
        </is>
      </c>
      <c r="E8" s="4" t="inlineStr">
        <is>
          <t>SEDE CENTRAL</t>
        </is>
      </c>
      <c r="F8" s="4" t="inlineStr">
        <is>
          <t>SANTO DOMINGO ESTE</t>
        </is>
      </c>
      <c r="G8" s="4" t="inlineStr">
        <is>
          <t>SEDE CENTRAL / SANTO DOMINGO</t>
        </is>
      </c>
      <c r="H8" s="4" t="inlineStr">
        <is>
          <t>8094831716</t>
        </is>
      </c>
      <c r="I8" s="5" t="n">
        <v>1100</v>
      </c>
      <c r="J8" s="6" t="inlineStr">
        <is>
          <t>CON DEUDA</t>
        </is>
      </c>
      <c r="K8" s="7" t="inlineStr">
        <is>
          <t>NO</t>
        </is>
      </c>
      <c r="L8" s="4" t="inlineStr">
        <is>
          <t>Presidente CODIA</t>
        </is>
      </c>
      <c r="M8" s="4" t="inlineStr">
        <is>
          <t>favorable</t>
        </is>
      </c>
    </row>
    <row r="9">
      <c r="A9" s="4" t="n">
        <v>14523</v>
      </c>
      <c r="B9" s="4" t="inlineStr">
        <is>
          <t>ROSA OTILIA DE JESUS JIMENEZ</t>
        </is>
      </c>
      <c r="C9" s="4" t="inlineStr">
        <is>
          <t>001-0536874-0</t>
        </is>
      </c>
      <c r="D9" s="4" t="inlineStr">
        <is>
          <t>ARQUITECTOS</t>
        </is>
      </c>
      <c r="E9" s="4" t="inlineStr">
        <is>
          <t>SEDE CENTRAL</t>
        </is>
      </c>
      <c r="F9" s="4" t="inlineStr">
        <is>
          <t>SANTO DOMINGO</t>
        </is>
      </c>
      <c r="G9" s="4" t="inlineStr">
        <is>
          <t>SEDE CENTRAL / SANTO DOMINGO</t>
        </is>
      </c>
      <c r="H9" s="4" t="inlineStr">
        <is>
          <t>8095985534</t>
        </is>
      </c>
      <c r="I9" s="5" t="n">
        <v>1100</v>
      </c>
      <c r="J9" s="6" t="inlineStr">
        <is>
          <t>CON DEUDA</t>
        </is>
      </c>
      <c r="K9" s="7" t="inlineStr">
        <is>
          <t>NO</t>
        </is>
      </c>
      <c r="L9" s="4" t="inlineStr">
        <is>
          <t>Presidente CODIA</t>
        </is>
      </c>
      <c r="M9" s="4" t="inlineStr">
        <is>
          <t>favorable</t>
        </is>
      </c>
    </row>
    <row r="10">
      <c r="A10" s="4" t="n">
        <v>34103</v>
      </c>
      <c r="B10" s="4" t="inlineStr">
        <is>
          <t>RUTH ESTHEL LARA TINEO</t>
        </is>
      </c>
      <c r="C10" s="4" t="inlineStr">
        <is>
          <t>001-1760263-1</t>
        </is>
      </c>
      <c r="D10" s="4" t="inlineStr">
        <is>
          <t>INGENIEROS CIVILES</t>
        </is>
      </c>
      <c r="E10" s="4" t="inlineStr">
        <is>
          <t>SEDE CENTRAL</t>
        </is>
      </c>
      <c r="F10" s="4" t="inlineStr">
        <is>
          <t>SANTO DOMINGO OESTE</t>
        </is>
      </c>
      <c r="G10" s="4" t="inlineStr">
        <is>
          <t>SEDE CENTRAL / SANTO DOMINGO</t>
        </is>
      </c>
      <c r="H10" s="4" t="inlineStr">
        <is>
          <t>8097044247</t>
        </is>
      </c>
      <c r="I10" s="5" t="n">
        <v>1100</v>
      </c>
      <c r="J10" s="6" t="inlineStr">
        <is>
          <t>CON DEUDA</t>
        </is>
      </c>
      <c r="K10" s="7" t="inlineStr">
        <is>
          <t>NO</t>
        </is>
      </c>
      <c r="L10" s="4" t="inlineStr">
        <is>
          <t>Presidente CODIA</t>
        </is>
      </c>
      <c r="M10" s="4" t="inlineStr">
        <is>
          <t>favorable</t>
        </is>
      </c>
    </row>
    <row r="11">
      <c r="A11" s="4" t="n">
        <v>23143</v>
      </c>
      <c r="B11" s="4" t="inlineStr">
        <is>
          <t>ANA IRIS REYNOSO ZAPATA</t>
        </is>
      </c>
      <c r="C11" s="4" t="inlineStr">
        <is>
          <t>001-0487229-6</t>
        </is>
      </c>
      <c r="D11" s="4" t="inlineStr">
        <is>
          <t>ARQUITECTOS</t>
        </is>
      </c>
      <c r="E11" s="4" t="inlineStr">
        <is>
          <t>SEDE CENTRAL</t>
        </is>
      </c>
      <c r="F11" s="4" t="inlineStr">
        <is>
          <t>SANTO DOMINGO</t>
        </is>
      </c>
      <c r="G11" s="4" t="inlineStr">
        <is>
          <t>SEDE CENTRAL / SANTO DOMINGO</t>
        </is>
      </c>
      <c r="H11" s="4" t="inlineStr">
        <is>
          <t>8095979534</t>
        </is>
      </c>
      <c r="I11" s="5" t="n">
        <v>400</v>
      </c>
      <c r="J11" s="6" t="inlineStr">
        <is>
          <t>CON DEUDA</t>
        </is>
      </c>
      <c r="K11" s="7" t="inlineStr">
        <is>
          <t>NO</t>
        </is>
      </c>
      <c r="L11" s="4" t="inlineStr">
        <is>
          <t>Presidente CODIA</t>
        </is>
      </c>
      <c r="M11" s="4" t="inlineStr">
        <is>
          <t>favorable</t>
        </is>
      </c>
    </row>
    <row r="12">
      <c r="A12" s="4" t="n">
        <v>14840</v>
      </c>
      <c r="B12" s="4" t="inlineStr">
        <is>
          <t>ANDREA NERSULINA MORETA PEREZ</t>
        </is>
      </c>
      <c r="C12" s="4" t="inlineStr">
        <is>
          <t>001-0828921-6</t>
        </is>
      </c>
      <c r="D12" s="4" t="inlineStr">
        <is>
          <t>ARQUITECTOS</t>
        </is>
      </c>
      <c r="E12" s="4" t="inlineStr">
        <is>
          <t>SEDE CENTRAL</t>
        </is>
      </c>
      <c r="F12" s="4" t="inlineStr">
        <is>
          <t>SANTO DOMINGO</t>
        </is>
      </c>
      <c r="G12" s="4" t="inlineStr">
        <is>
          <t>SEDE CENTRAL / SANTO DOMINGO</t>
        </is>
      </c>
      <c r="H12" s="4" t="inlineStr">
        <is>
          <t>—</t>
        </is>
      </c>
      <c r="I12" s="5" t="n">
        <v>400</v>
      </c>
      <c r="J12" s="6" t="inlineStr">
        <is>
          <t>CON DEUDA</t>
        </is>
      </c>
      <c r="K12" s="7" t="inlineStr">
        <is>
          <t>NO</t>
        </is>
      </c>
      <c r="L12" s="4" t="inlineStr">
        <is>
          <t>Presidente CODIA</t>
        </is>
      </c>
      <c r="M12" s="4" t="inlineStr">
        <is>
          <t>favorable</t>
        </is>
      </c>
    </row>
    <row r="13">
      <c r="A13" s="4" t="n">
        <v>21678</v>
      </c>
      <c r="B13" s="4" t="inlineStr">
        <is>
          <t>BELKYS JENNYFER FLORIAN HERNANDEZ</t>
        </is>
      </c>
      <c r="C13" s="4" t="inlineStr">
        <is>
          <t>001-1194196-9</t>
        </is>
      </c>
      <c r="D13" s="4" t="inlineStr">
        <is>
          <t>INGENIEROS CIVILES</t>
        </is>
      </c>
      <c r="E13" s="4" t="inlineStr">
        <is>
          <t>SEDE CENTRAL</t>
        </is>
      </c>
      <c r="F13" s="4" t="inlineStr">
        <is>
          <t>SANTO DOMINGO</t>
        </is>
      </c>
      <c r="G13" s="4" t="inlineStr">
        <is>
          <t>SEDE CENTRAL / SANTO DOMINGO</t>
        </is>
      </c>
      <c r="H13" s="4" t="inlineStr">
        <is>
          <t>8097884183</t>
        </is>
      </c>
      <c r="I13" s="5" t="n">
        <v>400</v>
      </c>
      <c r="J13" s="6" t="inlineStr">
        <is>
          <t>CON DEUDA</t>
        </is>
      </c>
      <c r="K13" s="7" t="inlineStr">
        <is>
          <t>NO</t>
        </is>
      </c>
      <c r="L13" s="4" t="inlineStr">
        <is>
          <t>Presidente CODIA</t>
        </is>
      </c>
      <c r="M13" s="4" t="inlineStr">
        <is>
          <t>favorable</t>
        </is>
      </c>
    </row>
    <row r="14">
      <c r="A14" s="4" t="n">
        <v>45579</v>
      </c>
      <c r="B14" s="4" t="inlineStr">
        <is>
          <t>NATIVIDAD ELAINE HERNANDEZ ALCANTARA</t>
        </is>
      </c>
      <c r="C14" s="4" t="inlineStr">
        <is>
          <t>223-0103752-3</t>
        </is>
      </c>
      <c r="D14" s="4" t="inlineStr">
        <is>
          <t>ARQUITECTOS</t>
        </is>
      </c>
      <c r="E14" s="4" t="inlineStr">
        <is>
          <t>SEDE CENTRAL</t>
        </is>
      </c>
      <c r="F14" s="4" t="inlineStr">
        <is>
          <t>SANTO DOMINGO ESTE</t>
        </is>
      </c>
      <c r="G14" s="4" t="inlineStr">
        <is>
          <t>SEDE CENTRAL / SANTO DOMINGO</t>
        </is>
      </c>
      <c r="H14" s="4" t="inlineStr">
        <is>
          <t>8094235615</t>
        </is>
      </c>
      <c r="I14" s="5" t="n">
        <v>400</v>
      </c>
      <c r="J14" s="6" t="inlineStr">
        <is>
          <t>CON DEUDA</t>
        </is>
      </c>
      <c r="K14" s="7" t="inlineStr">
        <is>
          <t>NO</t>
        </is>
      </c>
      <c r="L14" s="4" t="inlineStr">
        <is>
          <t>Presidente CODIA</t>
        </is>
      </c>
      <c r="M14" s="4" t="inlineStr">
        <is>
          <t>favorable</t>
        </is>
      </c>
    </row>
    <row r="15">
      <c r="A15" s="4" t="n">
        <v>33446</v>
      </c>
      <c r="B15" s="4" t="inlineStr">
        <is>
          <t>YALIVIS VIRGINIA NOLASCO HERNANDEZ</t>
        </is>
      </c>
      <c r="C15" s="4" t="inlineStr">
        <is>
          <t>001-0395317-0</t>
        </is>
      </c>
      <c r="D15" s="4" t="inlineStr">
        <is>
          <t>INGENIEROS CIVILES</t>
        </is>
      </c>
      <c r="E15" s="4" t="inlineStr">
        <is>
          <t>SEDE CENTRAL</t>
        </is>
      </c>
      <c r="F15" s="4" t="inlineStr">
        <is>
          <t>SANTO DOMINGO ESTE</t>
        </is>
      </c>
      <c r="G15" s="4" t="inlineStr">
        <is>
          <t>SEDE CENTRAL / SANTO DOMINGO</t>
        </is>
      </c>
      <c r="H15" s="4" t="inlineStr">
        <is>
          <t>8093353344</t>
        </is>
      </c>
      <c r="I15" s="5" t="n">
        <v>400</v>
      </c>
      <c r="J15" s="6" t="inlineStr">
        <is>
          <t>CON DEUDA</t>
        </is>
      </c>
      <c r="K15" s="7" t="inlineStr">
        <is>
          <t>NO</t>
        </is>
      </c>
      <c r="L15" s="4" t="inlineStr">
        <is>
          <t>Presidente CODIA</t>
        </is>
      </c>
      <c r="M15" s="4" t="inlineStr">
        <is>
          <t>favorable</t>
        </is>
      </c>
    </row>
    <row r="16">
      <c r="A16" s="4" t="n">
        <v>31055</v>
      </c>
      <c r="B16" s="4" t="inlineStr">
        <is>
          <t>YILDA PAULINA CASTRO VALDEZ</t>
        </is>
      </c>
      <c r="C16" s="4" t="inlineStr">
        <is>
          <t>001-1475507-7</t>
        </is>
      </c>
      <c r="D16" s="4" t="inlineStr">
        <is>
          <t>ARQUITECTOS</t>
        </is>
      </c>
      <c r="E16" s="4" t="inlineStr">
        <is>
          <t>SEDE CENTRAL</t>
        </is>
      </c>
      <c r="F16" s="4" t="inlineStr">
        <is>
          <t>SANTO DOMINGO</t>
        </is>
      </c>
      <c r="G16" s="4" t="inlineStr">
        <is>
          <t>SEDE CENTRAL / SANTO DOMINGO</t>
        </is>
      </c>
      <c r="H16" s="4" t="inlineStr">
        <is>
          <t>8099724153</t>
        </is>
      </c>
      <c r="I16" s="5" t="n">
        <v>400</v>
      </c>
      <c r="J16" s="6" t="inlineStr">
        <is>
          <t>CON DEUDA</t>
        </is>
      </c>
      <c r="K16" s="7" t="inlineStr">
        <is>
          <t>NO</t>
        </is>
      </c>
      <c r="L16" s="4" t="inlineStr">
        <is>
          <t>Presidente CODIA</t>
        </is>
      </c>
      <c r="M16" s="4" t="inlineStr">
        <is>
          <t>favorable</t>
        </is>
      </c>
    </row>
    <row r="17">
      <c r="A17" s="4" t="n">
        <v>10717</v>
      </c>
      <c r="B17" s="4" t="inlineStr">
        <is>
          <t>GERTRUDIS MARIA ROSARIO ALBERTO</t>
        </is>
      </c>
      <c r="C17" s="4" t="inlineStr">
        <is>
          <t>001-0571380-4</t>
        </is>
      </c>
      <c r="D17" s="4" t="inlineStr">
        <is>
          <t>INGENIEROS ELECTROMECANICOS</t>
        </is>
      </c>
      <c r="E17" s="4" t="inlineStr">
        <is>
          <t>SEDE CENTRAL</t>
        </is>
      </c>
      <c r="F17" s="4" t="inlineStr">
        <is>
          <t>SANTO DOMINGO ESTE</t>
        </is>
      </c>
      <c r="G17" s="4" t="inlineStr">
        <is>
          <t>SEDE CENTRAL / SANTO DOMINGO</t>
        </is>
      </c>
      <c r="H17" s="4" t="inlineStr">
        <is>
          <t>8096991927</t>
        </is>
      </c>
      <c r="I17" s="5" t="n">
        <v>0</v>
      </c>
      <c r="J17" s="8" t="inlineStr">
        <is>
          <t>AL DIA</t>
        </is>
      </c>
      <c r="K17" s="4" t="inlineStr">
        <is>
          <t>SI</t>
        </is>
      </c>
      <c r="L17" s="4" t="inlineStr">
        <is>
          <t>Presidente CODIA</t>
        </is>
      </c>
      <c r="M17" s="4" t="inlineStr">
        <is>
          <t>favorable</t>
        </is>
      </c>
    </row>
    <row r="18">
      <c r="A18" s="4" t="n">
        <v>36520</v>
      </c>
      <c r="B18" s="4" t="inlineStr">
        <is>
          <t>MARIA ROMANY RINCON MANZANILLO</t>
        </is>
      </c>
      <c r="C18" s="4" t="inlineStr">
        <is>
          <t>001-1562533-7</t>
        </is>
      </c>
      <c r="D18" s="4" t="inlineStr">
        <is>
          <t>ARQUITECTOS</t>
        </is>
      </c>
      <c r="E18" s="4" t="inlineStr">
        <is>
          <t>SEDE CENTRAL</t>
        </is>
      </c>
      <c r="F18" s="4" t="inlineStr">
        <is>
          <t>SANTO DOMINGO ESTE</t>
        </is>
      </c>
      <c r="G18" s="4" t="inlineStr">
        <is>
          <t>SEDE CENTRAL / SANTO DOMINGO</t>
        </is>
      </c>
      <c r="H18" s="4" t="inlineStr">
        <is>
          <t>8098616551</t>
        </is>
      </c>
      <c r="I18" s="5" t="n">
        <v>0</v>
      </c>
      <c r="J18" s="8" t="inlineStr">
        <is>
          <t>AL DIA</t>
        </is>
      </c>
      <c r="K18" s="7" t="inlineStr">
        <is>
          <t>NO</t>
        </is>
      </c>
      <c r="L18" s="4" t="inlineStr">
        <is>
          <t>Presidente CODIA</t>
        </is>
      </c>
      <c r="M18" s="4" t="inlineStr">
        <is>
          <t>favorable</t>
        </is>
      </c>
    </row>
    <row r="19">
      <c r="H19" s="9" t="inlineStr">
        <is>
          <t>TOTAL DEUDA</t>
        </is>
      </c>
      <c r="I19" s="10">
        <f>SUM(I5:I18)</f>
        <v/>
      </c>
    </row>
    <row r="21">
      <c r="A21" s="11" t="inlineStr">
        <is>
          <t>Resumen</t>
        </is>
      </c>
    </row>
    <row r="22">
      <c r="A22" s="12" t="inlineStr">
        <is>
          <t>Total colegiados en la lista</t>
        </is>
      </c>
      <c r="B22" s="13">
        <f>COUNTA(B5:B18)</f>
        <v/>
      </c>
    </row>
    <row r="23">
      <c r="A23" s="12" t="inlineStr">
        <is>
          <t>Con deuda</t>
        </is>
      </c>
      <c r="B23" s="13">
        <f>COUNTIF(J5:J18,"CON DEUDA")</f>
        <v/>
      </c>
    </row>
    <row r="24">
      <c r="A24" s="12" t="inlineStr">
        <is>
          <t>Al dia</t>
        </is>
      </c>
      <c r="B24" s="13">
        <f>COUNTIF(J5:J18,"AL DIA")</f>
        <v/>
      </c>
    </row>
    <row r="25">
      <c r="A25" s="12" t="inlineStr">
        <is>
          <t>Votantes habilitados</t>
        </is>
      </c>
      <c r="B25" s="13">
        <f>COUNTIF(K5:K18,"SI")</f>
        <v/>
      </c>
    </row>
    <row r="26">
      <c r="A26" s="12" t="inlineStr">
        <is>
          <t>NO habilitados a votar</t>
        </is>
      </c>
      <c r="B26" s="13">
        <f>COUNTIF(K5:K18,"NO")</f>
        <v/>
      </c>
    </row>
    <row r="28">
      <c r="A28" s="2" t="inlineStr">
        <is>
          <t>Nota: 'votante habilitado' viene del padron y no depende solo del monto; #36520 aparece con deuda 0 pero NO habilitado.</t>
        </is>
      </c>
    </row>
  </sheetData>
  <autoFilter ref="A4:M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2026-07-16T18:33:31Z</dcterms:created>
  <dcterms:modified xsi:type="dcterms:W3CDTF">2026-07-16T18:33:31Z</dcterms:modified>
</cp:coreProperties>
</file>